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misor" sheetId="2" state="visible" r:id="rId4"/>
    <sheet name="Clientes" sheetId="3" state="visible" r:id="rId5"/>
    <sheet name="Plantill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Monotributo: el total de la factura. Resp. Inscripto: el importe sin IVA.</t>
        </r>
      </text>
    </comment>
  </commentList>
</comments>
</file>

<file path=xl/sharedStrings.xml><?xml version="1.0" encoding="utf-8"?>
<sst xmlns="http://schemas.openxmlformats.org/spreadsheetml/2006/main" count="78" uniqueCount="74">
  <si>
    <t xml:space="preserve">Facturación en ARCA — planilla por emisor</t>
  </si>
  <si>
    <t xml:space="preserve">Una planilla por cada persona que factura. Una hoja por mes.</t>
  </si>
  <si>
    <t xml:space="preserve">Cómo se usa</t>
  </si>
  <si>
    <t xml:space="preserve">1.</t>
  </si>
  <si>
    <t xml:space="preserve">Completar una sola vez la hoja 'Emisor' con los datos de quien factura.</t>
  </si>
  <si>
    <t xml:space="preserve">2.</t>
  </si>
  <si>
    <t xml:space="preserve">Cargar los clientes en la hoja 'Clientes' (una sola vez; agregar los nuevos cuando aparezcan).</t>
  </si>
  <si>
    <t xml:space="preserve">3.</t>
  </si>
  <si>
    <t xml:space="preserve">Cada mes: copiar la hoja 'Plantilla', renombrarla con el mes (ej. 'Octubre 2026') y completar una fila por factura.</t>
  </si>
  <si>
    <t xml:space="preserve">4.</t>
  </si>
  <si>
    <t xml:space="preserve">Al emitir en ARCA se completan las columnas grises (N° de comprobante y ¿Emitida?).</t>
  </si>
  <si>
    <t xml:space="preserve">Colores</t>
  </si>
  <si>
    <t xml:space="preserve">Amarillo</t>
  </si>
  <si>
    <t xml:space="preserve">Lo completa quien pide la factura</t>
  </si>
  <si>
    <t xml:space="preserve">Gris</t>
  </si>
  <si>
    <t xml:space="preserve">Se completa al emitir en ARCA</t>
  </si>
  <si>
    <t xml:space="preserve">Blanco</t>
  </si>
  <si>
    <t xml:space="preserve">Se calcula solo; no tocar</t>
  </si>
  <si>
    <t xml:space="preserve">Tipo de factura</t>
  </si>
  <si>
    <t xml:space="preserve">Monotributo</t>
  </si>
  <si>
    <t xml:space="preserve">Siempre Factura C. No se discrimina IVA: el importe es el total.</t>
  </si>
  <si>
    <t xml:space="preserve">Resp. Inscripto</t>
  </si>
  <si>
    <t xml:space="preserve">Factura A a clientes Resp. Inscriptos o Monotributistas; Factura B al resto. Se carga el importe neto y la planilla calcula IVA y total.</t>
  </si>
  <si>
    <t xml:space="preserve">Ejemplo de fila (solo referencia)</t>
  </si>
  <si>
    <t xml:space="preserve">CUIT cliente</t>
  </si>
  <si>
    <t xml:space="preserve">30712345678</t>
  </si>
  <si>
    <t xml:space="preserve">Descripción</t>
  </si>
  <si>
    <t xml:space="preserve">Honorarios Profesionales Octubre 2026</t>
  </si>
  <si>
    <t xml:space="preserve">Importe neto</t>
  </si>
  <si>
    <t xml:space="preserve">$ 450.000 (valor inventado)</t>
  </si>
  <si>
    <t xml:space="preserve">Fechas</t>
  </si>
  <si>
    <t xml:space="preserve">Factura 31/10/2026 · Período 01/10/2026 al 31/10/2026 · Vto. 06/11/2026</t>
  </si>
  <si>
    <t xml:space="preserve">Condición de venta</t>
  </si>
  <si>
    <t xml:space="preserve">Transferencia Bancaria</t>
  </si>
  <si>
    <t xml:space="preserve">Datos del emisor</t>
  </si>
  <si>
    <t xml:space="preserve">Completar una sola vez. Nunca anotar la clave fiscal en esta planilla.</t>
  </si>
  <si>
    <t xml:space="preserve">Nombre (como figura en ARCA)</t>
  </si>
  <si>
    <t xml:space="preserve">CUIT</t>
  </si>
  <si>
    <t xml:space="preserve">Condición frente al IVA</t>
  </si>
  <si>
    <t xml:space="preserve">Responsable Monotributo o IVA Responsable Inscripto</t>
  </si>
  <si>
    <t xml:space="preserve">Punto de venta</t>
  </si>
  <si>
    <t xml:space="preserve">Ej. 1 (se ve en el historial de comprobantes)</t>
  </si>
  <si>
    <t xml:space="preserve">Actividad asociada (código)</t>
  </si>
  <si>
    <t xml:space="preserve">Ej. 692000</t>
  </si>
  <si>
    <t xml:space="preserve">Alícuota de IVA habitual</t>
  </si>
  <si>
    <t xml:space="preserve">Solo Resp. Inscripto. Ej. 21%</t>
  </si>
  <si>
    <t xml:space="preserve">Carpeta donde guardar los PDF</t>
  </si>
  <si>
    <t xml:space="preserve">Opcional</t>
  </si>
  <si>
    <t xml:space="preserve">Clientes</t>
  </si>
  <si>
    <t xml:space="preserve">Una fila por cliente. Completar una sola vez.</t>
  </si>
  <si>
    <t xml:space="preserve">Razón social</t>
  </si>
  <si>
    <t xml:space="preserve">Descripción habitual</t>
  </si>
  <si>
    <t xml:space="preserve">Condición de venta habitual</t>
  </si>
  <si>
    <t xml:space="preserve">¿Sigue activo?</t>
  </si>
  <si>
    <t xml:space="preserve">Notas</t>
  </si>
  <si>
    <t xml:space="preserve">Facturas a emitir — [MES AAAA]</t>
  </si>
  <si>
    <t xml:space="preserve">Copiar esta hoja para cada mes. Una fila por factura.</t>
  </si>
  <si>
    <t xml:space="preserve">Razón social
(automático)</t>
  </si>
  <si>
    <t xml:space="preserve">Condición IVA
(automático)</t>
  </si>
  <si>
    <t xml:space="preserve">Tipo de factura
(automático)</t>
  </si>
  <si>
    <t xml:space="preserve">Descripción del servicio</t>
  </si>
  <si>
    <t xml:space="preserve">Importe neto ($)</t>
  </si>
  <si>
    <t xml:space="preserve">IVA ($)
(automático)</t>
  </si>
  <si>
    <t xml:space="preserve">Total ($)
(automático)</t>
  </si>
  <si>
    <t xml:space="preserve">Fecha de la factura</t>
  </si>
  <si>
    <t xml:space="preserve">Período desde</t>
  </si>
  <si>
    <t xml:space="preserve">Período hasta</t>
  </si>
  <si>
    <t xml:space="preserve">Vencimiento de pago</t>
  </si>
  <si>
    <t xml:space="preserve">Observaciones</t>
  </si>
  <si>
    <t xml:space="preserve">N° comprobante</t>
  </si>
  <si>
    <t xml:space="preserve">¿Emitida?</t>
  </si>
  <si>
    <t xml:space="preserve">TOTAL</t>
  </si>
  <si>
    <t xml:space="preserve">Facturas cargadas</t>
  </si>
  <si>
    <t xml:space="preserve">Facturas emitidas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</si>
</sst>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%"/>
    <numFmt numFmtId="167" formatCode="&quot;$ &quot;#,##0.00"/>
    <numFmt numFmtId="168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6" t="s">
        <v>14</v>
      </c>
      <c r="B12" s="4" t="s">
        <v>15</v>
      </c>
    </row>
    <row r="13" customFormat="false" ht="15" hidden="false" customHeight="false" outlineLevel="0" collapsed="false">
      <c r="A13" s="4" t="s">
        <v>16</v>
      </c>
      <c r="B13" s="4" t="s">
        <v>17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false" outlineLevel="0" collapsed="false">
      <c r="A16" s="4" t="s">
        <v>19</v>
      </c>
      <c r="B16" s="4" t="s">
        <v>20</v>
      </c>
    </row>
    <row r="17" customFormat="false" ht="15" hidden="false" customHeight="false" outlineLevel="0" collapsed="false">
      <c r="A17" s="4" t="s">
        <v>21</v>
      </c>
      <c r="B17" s="4" t="s">
        <v>22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3" t="s">
        <v>23</v>
      </c>
      <c r="B19" s="4"/>
    </row>
    <row r="20" customFormat="false" ht="15" hidden="false" customHeight="false" outlineLevel="0" collapsed="false">
      <c r="A20" s="4" t="s">
        <v>24</v>
      </c>
      <c r="B20" s="4" t="s">
        <v>25</v>
      </c>
    </row>
    <row r="21" customFormat="false" ht="15" hidden="false" customHeight="false" outlineLevel="0" collapsed="false">
      <c r="A21" s="4" t="s">
        <v>26</v>
      </c>
      <c r="B21" s="4" t="s">
        <v>27</v>
      </c>
    </row>
    <row r="22" customFormat="false" ht="15" hidden="false" customHeight="false" outlineLevel="0" collapsed="false">
      <c r="A22" s="4" t="s">
        <v>28</v>
      </c>
      <c r="B22" s="4" t="s">
        <v>29</v>
      </c>
    </row>
    <row r="23" customFormat="false" ht="15" hidden="false" customHeight="false" outlineLevel="0" collapsed="false">
      <c r="A23" s="4" t="s">
        <v>30</v>
      </c>
      <c r="B23" s="4" t="s">
        <v>31</v>
      </c>
    </row>
    <row r="24" customFormat="false" ht="15" hidden="false" customHeight="false" outlineLevel="0" collapsed="false">
      <c r="A24" s="4" t="s">
        <v>32</v>
      </c>
      <c r="B24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5" customFormat="false" ht="15" hidden="false" customHeight="false" outlineLevel="0" collapsed="false">
      <c r="A5" s="3" t="s">
        <v>36</v>
      </c>
      <c r="B5" s="7"/>
      <c r="C5" s="2"/>
    </row>
    <row r="6" customFormat="false" ht="15" hidden="false" customHeight="false" outlineLevel="0" collapsed="false">
      <c r="A6" s="3" t="s">
        <v>37</v>
      </c>
      <c r="B6" s="8"/>
      <c r="C6" s="2"/>
    </row>
    <row r="7" customFormat="false" ht="15" hidden="false" customHeight="false" outlineLevel="0" collapsed="false">
      <c r="A7" s="3" t="s">
        <v>38</v>
      </c>
      <c r="B7" s="7"/>
      <c r="C7" s="2" t="s">
        <v>39</v>
      </c>
    </row>
    <row r="8" customFormat="false" ht="15" hidden="false" customHeight="false" outlineLevel="0" collapsed="false">
      <c r="A8" s="3" t="s">
        <v>40</v>
      </c>
      <c r="B8" s="7"/>
      <c r="C8" s="2" t="s">
        <v>41</v>
      </c>
    </row>
    <row r="9" customFormat="false" ht="15" hidden="false" customHeight="false" outlineLevel="0" collapsed="false">
      <c r="A9" s="3" t="s">
        <v>42</v>
      </c>
      <c r="B9" s="7"/>
      <c r="C9" s="2" t="s">
        <v>43</v>
      </c>
    </row>
    <row r="10" customFormat="false" ht="15" hidden="false" customHeight="false" outlineLevel="0" collapsed="false">
      <c r="A10" s="3" t="s">
        <v>44</v>
      </c>
      <c r="B10" s="9"/>
      <c r="C10" s="2" t="s">
        <v>45</v>
      </c>
    </row>
    <row r="11" customFormat="false" ht="15" hidden="false" customHeight="false" outlineLevel="0" collapsed="false">
      <c r="A11" s="3" t="s">
        <v>46</v>
      </c>
      <c r="B11" s="7"/>
      <c r="C11" s="2" t="s">
        <v>47</v>
      </c>
    </row>
  </sheetData>
  <dataValidations count="2">
    <dataValidation allowBlank="true" errorStyle="stop" operator="between" showDropDown="false" showErrorMessage="false" showInputMessage="false" sqref="B7" type="list">
      <formula1>"Responsable Monotributo,IVA Responsable Inscripto"</formula1>
      <formula2>0</formula2>
    </dataValidation>
    <dataValidation allowBlank="true" errorStyle="stop" operator="between" showDropDown="false" showErrorMessage="false" showInputMessage="false" sqref="B10" type="list">
      <formula1>"0.21,0.105,0.27,0"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3.75" hidden="false" customHeight="true" outlineLevel="0" collapsed="false">
      <c r="A4" s="10" t="s">
        <v>37</v>
      </c>
      <c r="B4" s="10" t="s">
        <v>50</v>
      </c>
      <c r="C4" s="10" t="s">
        <v>38</v>
      </c>
      <c r="D4" s="10" t="s">
        <v>51</v>
      </c>
      <c r="E4" s="10" t="s">
        <v>52</v>
      </c>
      <c r="F4" s="10" t="s">
        <v>53</v>
      </c>
      <c r="G4" s="10" t="s">
        <v>54</v>
      </c>
    </row>
    <row r="5" customFormat="false" ht="15" hidden="false" customHeight="false" outlineLevel="0" collapsed="false">
      <c r="A5" s="8"/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8"/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8"/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8"/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8"/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8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8"/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8"/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8"/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8"/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8"/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8"/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8"/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8"/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8"/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8"/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8"/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8"/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8"/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8"/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8"/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8"/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8"/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A28" s="8"/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8"/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8"/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8"/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8"/>
      <c r="B32" s="7"/>
      <c r="C32" s="7"/>
      <c r="D32" s="7"/>
      <c r="E32" s="7"/>
      <c r="F32" s="7"/>
      <c r="G32" s="7"/>
    </row>
    <row r="33" customFormat="false" ht="15" hidden="false" customHeight="false" outlineLevel="0" collapsed="false">
      <c r="A33" s="8"/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8"/>
      <c r="B34" s="7"/>
      <c r="C34" s="7"/>
      <c r="D34" s="7"/>
      <c r="E34" s="7"/>
      <c r="F34" s="7"/>
      <c r="G34" s="7"/>
    </row>
    <row r="35" customFormat="false" ht="15" hidden="false" customHeight="false" outlineLevel="0" collapsed="false">
      <c r="A35" s="8"/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8"/>
      <c r="B36" s="7"/>
      <c r="C36" s="7"/>
      <c r="D36" s="7"/>
      <c r="E36" s="7"/>
      <c r="F36" s="7"/>
      <c r="G36" s="7"/>
    </row>
    <row r="37" customFormat="false" ht="15" hidden="false" customHeight="false" outlineLevel="0" collapsed="false">
      <c r="A37" s="8"/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8"/>
      <c r="B38" s="7"/>
      <c r="C38" s="7"/>
      <c r="D38" s="7"/>
      <c r="E38" s="7"/>
      <c r="F38" s="7"/>
      <c r="G38" s="7"/>
    </row>
    <row r="39" customFormat="false" ht="15" hidden="false" customHeight="false" outlineLevel="0" collapsed="false">
      <c r="A39" s="8"/>
      <c r="B39" s="7"/>
      <c r="C39" s="7"/>
      <c r="D39" s="7"/>
      <c r="E39" s="7"/>
      <c r="F39" s="7"/>
      <c r="G39" s="7"/>
    </row>
    <row r="40" customFormat="false" ht="15" hidden="false" customHeight="false" outlineLevel="0" collapsed="false">
      <c r="A40" s="8"/>
      <c r="B40" s="7"/>
      <c r="C40" s="7"/>
      <c r="D40" s="7"/>
      <c r="E40" s="7"/>
      <c r="F40" s="7"/>
      <c r="G40" s="7"/>
    </row>
    <row r="41" customFormat="false" ht="15" hidden="false" customHeight="false" outlineLevel="0" collapsed="false">
      <c r="A41" s="8"/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8"/>
      <c r="B42" s="7"/>
      <c r="C42" s="7"/>
      <c r="D42" s="7"/>
      <c r="E42" s="7"/>
      <c r="F42" s="7"/>
      <c r="G42" s="7"/>
    </row>
    <row r="43" customFormat="false" ht="15" hidden="false" customHeight="false" outlineLevel="0" collapsed="false">
      <c r="A43" s="8"/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8"/>
      <c r="B44" s="7"/>
      <c r="C44" s="7"/>
      <c r="D44" s="7"/>
      <c r="E44" s="7"/>
      <c r="F44" s="7"/>
      <c r="G44" s="7"/>
    </row>
    <row r="45" customFormat="false" ht="15" hidden="false" customHeight="false" outlineLevel="0" collapsed="false">
      <c r="A45" s="8"/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8"/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8"/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8"/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8"/>
      <c r="B49" s="7"/>
      <c r="C49" s="7"/>
      <c r="D49" s="7"/>
      <c r="E49" s="7"/>
      <c r="F49" s="7"/>
      <c r="G49" s="7"/>
    </row>
    <row r="50" customFormat="false" ht="15" hidden="false" customHeight="false" outlineLevel="0" collapsed="false">
      <c r="A50" s="8"/>
      <c r="B50" s="7"/>
      <c r="C50" s="7"/>
      <c r="D50" s="7"/>
      <c r="E50" s="7"/>
      <c r="F50" s="7"/>
      <c r="G50" s="7"/>
    </row>
    <row r="51" customFormat="false" ht="15" hidden="false" customHeight="false" outlineLevel="0" collapsed="false">
      <c r="A51" s="8"/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8"/>
      <c r="B52" s="7"/>
      <c r="C52" s="7"/>
      <c r="D52" s="7"/>
      <c r="E52" s="7"/>
      <c r="F52" s="7"/>
      <c r="G52" s="7"/>
    </row>
    <row r="53" customFormat="false" ht="15" hidden="false" customHeight="false" outlineLevel="0" collapsed="false">
      <c r="A53" s="8"/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8"/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8"/>
      <c r="B55" s="7"/>
      <c r="C55" s="7"/>
      <c r="D55" s="7"/>
      <c r="E55" s="7"/>
      <c r="F55" s="7"/>
      <c r="G55" s="7"/>
    </row>
    <row r="56" customFormat="false" ht="15" hidden="false" customHeight="false" outlineLevel="0" collapsed="false">
      <c r="A56" s="8"/>
      <c r="B56" s="7"/>
      <c r="C56" s="7"/>
      <c r="D56" s="7"/>
      <c r="E56" s="7"/>
      <c r="F56" s="7"/>
      <c r="G56" s="7"/>
    </row>
    <row r="57" customFormat="false" ht="15" hidden="false" customHeight="false" outlineLevel="0" collapsed="false">
      <c r="A57" s="8"/>
      <c r="B57" s="7"/>
      <c r="C57" s="7"/>
      <c r="D57" s="7"/>
      <c r="E57" s="7"/>
      <c r="F57" s="7"/>
      <c r="G57" s="7"/>
    </row>
    <row r="58" customFormat="false" ht="15" hidden="false" customHeight="false" outlineLevel="0" collapsed="false">
      <c r="A58" s="8"/>
      <c r="B58" s="7"/>
      <c r="C58" s="7"/>
      <c r="D58" s="7"/>
      <c r="E58" s="7"/>
      <c r="F58" s="7"/>
      <c r="G58" s="7"/>
    </row>
    <row r="59" customFormat="false" ht="15" hidden="false" customHeight="false" outlineLevel="0" collapsed="false">
      <c r="A59" s="8"/>
      <c r="B59" s="7"/>
      <c r="C59" s="7"/>
      <c r="D59" s="7"/>
      <c r="E59" s="7"/>
      <c r="F59" s="7"/>
      <c r="G59" s="7"/>
    </row>
    <row r="60" customFormat="false" ht="15" hidden="false" customHeight="false" outlineLevel="0" collapsed="false">
      <c r="A60" s="8"/>
      <c r="B60" s="7"/>
      <c r="C60" s="7"/>
      <c r="D60" s="7"/>
      <c r="E60" s="7"/>
      <c r="F60" s="7"/>
      <c r="G60" s="7"/>
    </row>
  </sheetData>
  <dataValidations count="3">
    <dataValidation allowBlank="true" errorStyle="stop" operator="between" showDropDown="false" showErrorMessage="false" showInputMessage="false" sqref="C5:C60" type="list">
      <formula1>"IVA Responsable Inscripto,Responsable Monotributo,IVA Sujeto Exento,Consumidor Final"</formula1>
      <formula2>0</formula2>
    </dataValidation>
    <dataValidation allowBlank="true" errorStyle="stop" operator="between" showDropDown="false" showErrorMessage="false" showInputMessage="false" sqref="E5:E60" type="list">
      <formula1>"Transferencia Bancaria,Contado,Cuenta Corriente,Cheque,Tarjeta de Débito,Tarjeta de Crédito,Otra"</formula1>
      <formula2>0</formula2>
    </dataValidation>
    <dataValidation allowBlank="true" errorStyle="stop" operator="between" showDropDown="false" showErrorMessage="false" showInputMessage="false" sqref="F5:F6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22"/>
    <col collapsed="false" customWidth="true" hidden="false" outlineLevel="0" max="14" min="14" style="0" width="30"/>
    <col collapsed="false" customWidth="true" hidden="false" outlineLevel="0" max="15" min="15" style="0" width="17"/>
    <col collapsed="false" customWidth="true" hidden="false" outlineLevel="0" max="16" min="16" style="0" width="11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33.75" hidden="false" customHeight="true" outlineLevel="0" collapsed="false">
      <c r="A4" s="10" t="s">
        <v>24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0" t="s">
        <v>32</v>
      </c>
      <c r="N4" s="10" t="s">
        <v>68</v>
      </c>
      <c r="O4" s="10" t="s">
        <v>69</v>
      </c>
      <c r="P4" s="10" t="s">
        <v>70</v>
      </c>
    </row>
    <row r="5" customFormat="false" ht="15" hidden="false" customHeight="false" outlineLevel="0" collapsed="false">
      <c r="A5" s="8"/>
      <c r="B5" s="11" t="str">
        <f aca="false">IF(A5="","",IFERROR(INDEX(Clientes!$B$5:$B$60,MATCH(A5,Clientes!$A$5:$A$60,0)),"CUIT no cargado en Clientes"))</f>
        <v/>
      </c>
      <c r="C5" s="11" t="str">
        <f aca="false">IF(A5="","",IFERROR(INDEX(Clientes!$C$5:$C$60,MATCH(A5,Clientes!$A$5:$A$60,0)),""))</f>
        <v/>
      </c>
      <c r="D5" s="11" t="str">
        <f aca="false">IF(A5="","",IF(Emisor!$B$7="Responsable Monotributo","Factura C",IF(OR(C5="IVA Responsable Inscripto",C5="Responsable Monotributo"),"Factura A","Factura B")))</f>
        <v/>
      </c>
      <c r="E5" s="7"/>
      <c r="F5" s="12"/>
      <c r="G5" s="13" t="str">
        <f aca="false">IF(F5="","",IF(Emisor!$B$7="IVA Responsable Inscripto",ROUND(F5*Emisor!$B$10,2),0))</f>
        <v/>
      </c>
      <c r="H5" s="13" t="str">
        <f aca="false">IF(F5="","",F5+G5)</f>
        <v/>
      </c>
      <c r="I5" s="14"/>
      <c r="J5" s="14"/>
      <c r="K5" s="14"/>
      <c r="L5" s="14"/>
      <c r="M5" s="7"/>
      <c r="N5" s="7"/>
      <c r="O5" s="15"/>
      <c r="P5" s="15"/>
    </row>
    <row r="6" customFormat="false" ht="15" hidden="false" customHeight="false" outlineLevel="0" collapsed="false">
      <c r="A6" s="8"/>
      <c r="B6" s="11" t="str">
        <f aca="false">IF(A6="","",IFERROR(INDEX(Clientes!$B$5:$B$60,MATCH(A6,Clientes!$A$5:$A$60,0)),"CUIT no cargado en Clientes"))</f>
        <v/>
      </c>
      <c r="C6" s="11" t="str">
        <f aca="false">IF(A6="","",IFERROR(INDEX(Clientes!$C$5:$C$60,MATCH(A6,Clientes!$A$5:$A$60,0)),""))</f>
        <v/>
      </c>
      <c r="D6" s="11" t="str">
        <f aca="false">IF(A6="","",IF(Emisor!$B$7="Responsable Monotributo","Factura C",IF(OR(C6="IVA Responsable Inscripto",C6="Responsable Monotributo"),"Factura A","Factura B")))</f>
        <v/>
      </c>
      <c r="E6" s="7"/>
      <c r="F6" s="12"/>
      <c r="G6" s="13" t="str">
        <f aca="false">IF(F6="","",IF(Emisor!$B$7="IVA Responsable Inscripto",ROUND(F6*Emisor!$B$10,2),0))</f>
        <v/>
      </c>
      <c r="H6" s="13" t="str">
        <f aca="false">IF(F6="","",F6+G6)</f>
        <v/>
      </c>
      <c r="I6" s="14"/>
      <c r="J6" s="14"/>
      <c r="K6" s="14"/>
      <c r="L6" s="14"/>
      <c r="M6" s="7"/>
      <c r="N6" s="7"/>
      <c r="O6" s="15"/>
      <c r="P6" s="15"/>
    </row>
    <row r="7" customFormat="false" ht="15" hidden="false" customHeight="false" outlineLevel="0" collapsed="false">
      <c r="A7" s="8"/>
      <c r="B7" s="11" t="str">
        <f aca="false">IF(A7="","",IFERROR(INDEX(Clientes!$B$5:$B$60,MATCH(A7,Clientes!$A$5:$A$60,0)),"CUIT no cargado en Clientes"))</f>
        <v/>
      </c>
      <c r="C7" s="11" t="str">
        <f aca="false">IF(A7="","",IFERROR(INDEX(Clientes!$C$5:$C$60,MATCH(A7,Clientes!$A$5:$A$60,0)),""))</f>
        <v/>
      </c>
      <c r="D7" s="11" t="str">
        <f aca="false">IF(A7="","",IF(Emisor!$B$7="Responsable Monotributo","Factura C",IF(OR(C7="IVA Responsable Inscripto",C7="Responsable Monotributo"),"Factura A","Factura B")))</f>
        <v/>
      </c>
      <c r="E7" s="7"/>
      <c r="F7" s="12"/>
      <c r="G7" s="13" t="str">
        <f aca="false">IF(F7="","",IF(Emisor!$B$7="IVA Responsable Inscripto",ROUND(F7*Emisor!$B$10,2),0))</f>
        <v/>
      </c>
      <c r="H7" s="13" t="str">
        <f aca="false">IF(F7="","",F7+G7)</f>
        <v/>
      </c>
      <c r="I7" s="14"/>
      <c r="J7" s="14"/>
      <c r="K7" s="14"/>
      <c r="L7" s="14"/>
      <c r="M7" s="7"/>
      <c r="N7" s="7"/>
      <c r="O7" s="15"/>
      <c r="P7" s="15"/>
    </row>
    <row r="8" customFormat="false" ht="15" hidden="false" customHeight="false" outlineLevel="0" collapsed="false">
      <c r="A8" s="8"/>
      <c r="B8" s="11" t="str">
        <f aca="false">IF(A8="","",IFERROR(INDEX(Clientes!$B$5:$B$60,MATCH(A8,Clientes!$A$5:$A$60,0)),"CUIT no cargado en Clientes"))</f>
        <v/>
      </c>
      <c r="C8" s="11" t="str">
        <f aca="false">IF(A8="","",IFERROR(INDEX(Clientes!$C$5:$C$60,MATCH(A8,Clientes!$A$5:$A$60,0)),""))</f>
        <v/>
      </c>
      <c r="D8" s="11" t="str">
        <f aca="false">IF(A8="","",IF(Emisor!$B$7="Responsable Monotributo","Factura C",IF(OR(C8="IVA Responsable Inscripto",C8="Responsable Monotributo"),"Factura A","Factura B")))</f>
        <v/>
      </c>
      <c r="E8" s="7"/>
      <c r="F8" s="12"/>
      <c r="G8" s="13" t="str">
        <f aca="false">IF(F8="","",IF(Emisor!$B$7="IVA Responsable Inscripto",ROUND(F8*Emisor!$B$10,2),0))</f>
        <v/>
      </c>
      <c r="H8" s="13" t="str">
        <f aca="false">IF(F8="","",F8+G8)</f>
        <v/>
      </c>
      <c r="I8" s="14"/>
      <c r="J8" s="14"/>
      <c r="K8" s="14"/>
      <c r="L8" s="14"/>
      <c r="M8" s="7"/>
      <c r="N8" s="7"/>
      <c r="O8" s="15"/>
      <c r="P8" s="15"/>
    </row>
    <row r="9" customFormat="false" ht="15" hidden="false" customHeight="false" outlineLevel="0" collapsed="false">
      <c r="A9" s="8"/>
      <c r="B9" s="11" t="str">
        <f aca="false">IF(A9="","",IFERROR(INDEX(Clientes!$B$5:$B$60,MATCH(A9,Clientes!$A$5:$A$60,0)),"CUIT no cargado en Clientes"))</f>
        <v/>
      </c>
      <c r="C9" s="11" t="str">
        <f aca="false">IF(A9="","",IFERROR(INDEX(Clientes!$C$5:$C$60,MATCH(A9,Clientes!$A$5:$A$60,0)),""))</f>
        <v/>
      </c>
      <c r="D9" s="11" t="str">
        <f aca="false">IF(A9="","",IF(Emisor!$B$7="Responsable Monotributo","Factura C",IF(OR(C9="IVA Responsable Inscripto",C9="Responsable Monotributo"),"Factura A","Factura B")))</f>
        <v/>
      </c>
      <c r="E9" s="7"/>
      <c r="F9" s="12"/>
      <c r="G9" s="13" t="str">
        <f aca="false">IF(F9="","",IF(Emisor!$B$7="IVA Responsable Inscripto",ROUND(F9*Emisor!$B$10,2),0))</f>
        <v/>
      </c>
      <c r="H9" s="13" t="str">
        <f aca="false">IF(F9="","",F9+G9)</f>
        <v/>
      </c>
      <c r="I9" s="14"/>
      <c r="J9" s="14"/>
      <c r="K9" s="14"/>
      <c r="L9" s="14"/>
      <c r="M9" s="7"/>
      <c r="N9" s="7"/>
      <c r="O9" s="15"/>
      <c r="P9" s="15"/>
    </row>
    <row r="10" customFormat="false" ht="15" hidden="false" customHeight="false" outlineLevel="0" collapsed="false">
      <c r="A10" s="8"/>
      <c r="B10" s="11" t="str">
        <f aca="false">IF(A10="","",IFERROR(INDEX(Clientes!$B$5:$B$60,MATCH(A10,Clientes!$A$5:$A$60,0)),"CUIT no cargado en Clientes"))</f>
        <v/>
      </c>
      <c r="C10" s="11" t="str">
        <f aca="false">IF(A10="","",IFERROR(INDEX(Clientes!$C$5:$C$60,MATCH(A10,Clientes!$A$5:$A$60,0)),""))</f>
        <v/>
      </c>
      <c r="D10" s="11" t="str">
        <f aca="false">IF(A10="","",IF(Emisor!$B$7="Responsable Monotributo","Factura C",IF(OR(C10="IVA Responsable Inscripto",C10="Responsable Monotributo"),"Factura A","Factura B")))</f>
        <v/>
      </c>
      <c r="E10" s="7"/>
      <c r="F10" s="12"/>
      <c r="G10" s="13" t="str">
        <f aca="false">IF(F10="","",IF(Emisor!$B$7="IVA Responsable Inscripto",ROUND(F10*Emisor!$B$10,2),0))</f>
        <v/>
      </c>
      <c r="H10" s="13" t="str">
        <f aca="false">IF(F10="","",F10+G10)</f>
        <v/>
      </c>
      <c r="I10" s="14"/>
      <c r="J10" s="14"/>
      <c r="K10" s="14"/>
      <c r="L10" s="14"/>
      <c r="M10" s="7"/>
      <c r="N10" s="7"/>
      <c r="O10" s="15"/>
      <c r="P10" s="15"/>
    </row>
    <row r="11" customFormat="false" ht="15" hidden="false" customHeight="false" outlineLevel="0" collapsed="false">
      <c r="A11" s="8"/>
      <c r="B11" s="11" t="str">
        <f aca="false">IF(A11="","",IFERROR(INDEX(Clientes!$B$5:$B$60,MATCH(A11,Clientes!$A$5:$A$60,0)),"CUIT no cargado en Clientes"))</f>
        <v/>
      </c>
      <c r="C11" s="11" t="str">
        <f aca="false">IF(A11="","",IFERROR(INDEX(Clientes!$C$5:$C$60,MATCH(A11,Clientes!$A$5:$A$60,0)),""))</f>
        <v/>
      </c>
      <c r="D11" s="11" t="str">
        <f aca="false">IF(A11="","",IF(Emisor!$B$7="Responsable Monotributo","Factura C",IF(OR(C11="IVA Responsable Inscripto",C11="Responsable Monotributo"),"Factura A","Factura B")))</f>
        <v/>
      </c>
      <c r="E11" s="7"/>
      <c r="F11" s="12"/>
      <c r="G11" s="13" t="str">
        <f aca="false">IF(F11="","",IF(Emisor!$B$7="IVA Responsable Inscripto",ROUND(F11*Emisor!$B$10,2),0))</f>
        <v/>
      </c>
      <c r="H11" s="13" t="str">
        <f aca="false">IF(F11="","",F11+G11)</f>
        <v/>
      </c>
      <c r="I11" s="14"/>
      <c r="J11" s="14"/>
      <c r="K11" s="14"/>
      <c r="L11" s="14"/>
      <c r="M11" s="7"/>
      <c r="N11" s="7"/>
      <c r="O11" s="15"/>
      <c r="P11" s="15"/>
    </row>
    <row r="12" customFormat="false" ht="15" hidden="false" customHeight="false" outlineLevel="0" collapsed="false">
      <c r="A12" s="8"/>
      <c r="B12" s="11" t="str">
        <f aca="false">IF(A12="","",IFERROR(INDEX(Clientes!$B$5:$B$60,MATCH(A12,Clientes!$A$5:$A$60,0)),"CUIT no cargado en Clientes"))</f>
        <v/>
      </c>
      <c r="C12" s="11" t="str">
        <f aca="false">IF(A12="","",IFERROR(INDEX(Clientes!$C$5:$C$60,MATCH(A12,Clientes!$A$5:$A$60,0)),""))</f>
        <v/>
      </c>
      <c r="D12" s="11" t="str">
        <f aca="false">IF(A12="","",IF(Emisor!$B$7="Responsable Monotributo","Factura C",IF(OR(C12="IVA Responsable Inscripto",C12="Responsable Monotributo"),"Factura A","Factura B")))</f>
        <v/>
      </c>
      <c r="E12" s="7"/>
      <c r="F12" s="12"/>
      <c r="G12" s="13" t="str">
        <f aca="false">IF(F12="","",IF(Emisor!$B$7="IVA Responsable Inscripto",ROUND(F12*Emisor!$B$10,2),0))</f>
        <v/>
      </c>
      <c r="H12" s="13" t="str">
        <f aca="false">IF(F12="","",F12+G12)</f>
        <v/>
      </c>
      <c r="I12" s="14"/>
      <c r="J12" s="14"/>
      <c r="K12" s="14"/>
      <c r="L12" s="14"/>
      <c r="M12" s="7"/>
      <c r="N12" s="7"/>
      <c r="O12" s="15"/>
      <c r="P12" s="15"/>
    </row>
    <row r="13" customFormat="false" ht="15" hidden="false" customHeight="false" outlineLevel="0" collapsed="false">
      <c r="A13" s="8"/>
      <c r="B13" s="11" t="str">
        <f aca="false">IF(A13="","",IFERROR(INDEX(Clientes!$B$5:$B$60,MATCH(A13,Clientes!$A$5:$A$60,0)),"CUIT no cargado en Clientes"))</f>
        <v/>
      </c>
      <c r="C13" s="11" t="str">
        <f aca="false">IF(A13="","",IFERROR(INDEX(Clientes!$C$5:$C$60,MATCH(A13,Clientes!$A$5:$A$60,0)),""))</f>
        <v/>
      </c>
      <c r="D13" s="11" t="str">
        <f aca="false">IF(A13="","",IF(Emisor!$B$7="Responsable Monotributo","Factura C",IF(OR(C13="IVA Responsable Inscripto",C13="Responsable Monotributo"),"Factura A","Factura B")))</f>
        <v/>
      </c>
      <c r="E13" s="7"/>
      <c r="F13" s="12"/>
      <c r="G13" s="13" t="str">
        <f aca="false">IF(F13="","",IF(Emisor!$B$7="IVA Responsable Inscripto",ROUND(F13*Emisor!$B$10,2),0))</f>
        <v/>
      </c>
      <c r="H13" s="13" t="str">
        <f aca="false">IF(F13="","",F13+G13)</f>
        <v/>
      </c>
      <c r="I13" s="14"/>
      <c r="J13" s="14"/>
      <c r="K13" s="14"/>
      <c r="L13" s="14"/>
      <c r="M13" s="7"/>
      <c r="N13" s="7"/>
      <c r="O13" s="15"/>
      <c r="P13" s="15"/>
    </row>
    <row r="14" customFormat="false" ht="15" hidden="false" customHeight="false" outlineLevel="0" collapsed="false">
      <c r="A14" s="8"/>
      <c r="B14" s="11" t="str">
        <f aca="false">IF(A14="","",IFERROR(INDEX(Clientes!$B$5:$B$60,MATCH(A14,Clientes!$A$5:$A$60,0)),"CUIT no cargado en Clientes"))</f>
        <v/>
      </c>
      <c r="C14" s="11" t="str">
        <f aca="false">IF(A14="","",IFERROR(INDEX(Clientes!$C$5:$C$60,MATCH(A14,Clientes!$A$5:$A$60,0)),""))</f>
        <v/>
      </c>
      <c r="D14" s="11" t="str">
        <f aca="false">IF(A14="","",IF(Emisor!$B$7="Responsable Monotributo","Factura C",IF(OR(C14="IVA Responsable Inscripto",C14="Responsable Monotributo"),"Factura A","Factura B")))</f>
        <v/>
      </c>
      <c r="E14" s="7"/>
      <c r="F14" s="12"/>
      <c r="G14" s="13" t="str">
        <f aca="false">IF(F14="","",IF(Emisor!$B$7="IVA Responsable Inscripto",ROUND(F14*Emisor!$B$10,2),0))</f>
        <v/>
      </c>
      <c r="H14" s="13" t="str">
        <f aca="false">IF(F14="","",F14+G14)</f>
        <v/>
      </c>
      <c r="I14" s="14"/>
      <c r="J14" s="14"/>
      <c r="K14" s="14"/>
      <c r="L14" s="14"/>
      <c r="M14" s="7"/>
      <c r="N14" s="7"/>
      <c r="O14" s="15"/>
      <c r="P14" s="15"/>
    </row>
    <row r="15" customFormat="false" ht="15" hidden="false" customHeight="false" outlineLevel="0" collapsed="false">
      <c r="A15" s="8"/>
      <c r="B15" s="11" t="str">
        <f aca="false">IF(A15="","",IFERROR(INDEX(Clientes!$B$5:$B$60,MATCH(A15,Clientes!$A$5:$A$60,0)),"CUIT no cargado en Clientes"))</f>
        <v/>
      </c>
      <c r="C15" s="11" t="str">
        <f aca="false">IF(A15="","",IFERROR(INDEX(Clientes!$C$5:$C$60,MATCH(A15,Clientes!$A$5:$A$60,0)),""))</f>
        <v/>
      </c>
      <c r="D15" s="11" t="str">
        <f aca="false">IF(A15="","",IF(Emisor!$B$7="Responsable Monotributo","Factura C",IF(OR(C15="IVA Responsable Inscripto",C15="Responsable Monotributo"),"Factura A","Factura B")))</f>
        <v/>
      </c>
      <c r="E15" s="7"/>
      <c r="F15" s="12"/>
      <c r="G15" s="13" t="str">
        <f aca="false">IF(F15="","",IF(Emisor!$B$7="IVA Responsable Inscripto",ROUND(F15*Emisor!$B$10,2),0))</f>
        <v/>
      </c>
      <c r="H15" s="13" t="str">
        <f aca="false">IF(F15="","",F15+G15)</f>
        <v/>
      </c>
      <c r="I15" s="14"/>
      <c r="J15" s="14"/>
      <c r="K15" s="14"/>
      <c r="L15" s="14"/>
      <c r="M15" s="7"/>
      <c r="N15" s="7"/>
      <c r="O15" s="15"/>
      <c r="P15" s="15"/>
    </row>
    <row r="16" customFormat="false" ht="15" hidden="false" customHeight="false" outlineLevel="0" collapsed="false">
      <c r="A16" s="8"/>
      <c r="B16" s="11" t="str">
        <f aca="false">IF(A16="","",IFERROR(INDEX(Clientes!$B$5:$B$60,MATCH(A16,Clientes!$A$5:$A$60,0)),"CUIT no cargado en Clientes"))</f>
        <v/>
      </c>
      <c r="C16" s="11" t="str">
        <f aca="false">IF(A16="","",IFERROR(INDEX(Clientes!$C$5:$C$60,MATCH(A16,Clientes!$A$5:$A$60,0)),""))</f>
        <v/>
      </c>
      <c r="D16" s="11" t="str">
        <f aca="false">IF(A16="","",IF(Emisor!$B$7="Responsable Monotributo","Factura C",IF(OR(C16="IVA Responsable Inscripto",C16="Responsable Monotributo"),"Factura A","Factura B")))</f>
        <v/>
      </c>
      <c r="E16" s="7"/>
      <c r="F16" s="12"/>
      <c r="G16" s="13" t="str">
        <f aca="false">IF(F16="","",IF(Emisor!$B$7="IVA Responsable Inscripto",ROUND(F16*Emisor!$B$10,2),0))</f>
        <v/>
      </c>
      <c r="H16" s="13" t="str">
        <f aca="false">IF(F16="","",F16+G16)</f>
        <v/>
      </c>
      <c r="I16" s="14"/>
      <c r="J16" s="14"/>
      <c r="K16" s="14"/>
      <c r="L16" s="14"/>
      <c r="M16" s="7"/>
      <c r="N16" s="7"/>
      <c r="O16" s="15"/>
      <c r="P16" s="15"/>
    </row>
    <row r="17" customFormat="false" ht="15" hidden="false" customHeight="false" outlineLevel="0" collapsed="false">
      <c r="A17" s="8"/>
      <c r="B17" s="11" t="str">
        <f aca="false">IF(A17="","",IFERROR(INDEX(Clientes!$B$5:$B$60,MATCH(A17,Clientes!$A$5:$A$60,0)),"CUIT no cargado en Clientes"))</f>
        <v/>
      </c>
      <c r="C17" s="11" t="str">
        <f aca="false">IF(A17="","",IFERROR(INDEX(Clientes!$C$5:$C$60,MATCH(A17,Clientes!$A$5:$A$60,0)),""))</f>
        <v/>
      </c>
      <c r="D17" s="11" t="str">
        <f aca="false">IF(A17="","",IF(Emisor!$B$7="Responsable Monotributo","Factura C",IF(OR(C17="IVA Responsable Inscripto",C17="Responsable Monotributo"),"Factura A","Factura B")))</f>
        <v/>
      </c>
      <c r="E17" s="7"/>
      <c r="F17" s="12"/>
      <c r="G17" s="13" t="str">
        <f aca="false">IF(F17="","",IF(Emisor!$B$7="IVA Responsable Inscripto",ROUND(F17*Emisor!$B$10,2),0))</f>
        <v/>
      </c>
      <c r="H17" s="13" t="str">
        <f aca="false">IF(F17="","",F17+G17)</f>
        <v/>
      </c>
      <c r="I17" s="14"/>
      <c r="J17" s="14"/>
      <c r="K17" s="14"/>
      <c r="L17" s="14"/>
      <c r="M17" s="7"/>
      <c r="N17" s="7"/>
      <c r="O17" s="15"/>
      <c r="P17" s="15"/>
    </row>
    <row r="18" customFormat="false" ht="15" hidden="false" customHeight="false" outlineLevel="0" collapsed="false">
      <c r="A18" s="8"/>
      <c r="B18" s="11" t="str">
        <f aca="false">IF(A18="","",IFERROR(INDEX(Clientes!$B$5:$B$60,MATCH(A18,Clientes!$A$5:$A$60,0)),"CUIT no cargado en Clientes"))</f>
        <v/>
      </c>
      <c r="C18" s="11" t="str">
        <f aca="false">IF(A18="","",IFERROR(INDEX(Clientes!$C$5:$C$60,MATCH(A18,Clientes!$A$5:$A$60,0)),""))</f>
        <v/>
      </c>
      <c r="D18" s="11" t="str">
        <f aca="false">IF(A18="","",IF(Emisor!$B$7="Responsable Monotributo","Factura C",IF(OR(C18="IVA Responsable Inscripto",C18="Responsable Monotributo"),"Factura A","Factura B")))</f>
        <v/>
      </c>
      <c r="E18" s="7"/>
      <c r="F18" s="12"/>
      <c r="G18" s="13" t="str">
        <f aca="false">IF(F18="","",IF(Emisor!$B$7="IVA Responsable Inscripto",ROUND(F18*Emisor!$B$10,2),0))</f>
        <v/>
      </c>
      <c r="H18" s="13" t="str">
        <f aca="false">IF(F18="","",F18+G18)</f>
        <v/>
      </c>
      <c r="I18" s="14"/>
      <c r="J18" s="14"/>
      <c r="K18" s="14"/>
      <c r="L18" s="14"/>
      <c r="M18" s="7"/>
      <c r="N18" s="7"/>
      <c r="O18" s="15"/>
      <c r="P18" s="15"/>
    </row>
    <row r="19" customFormat="false" ht="15" hidden="false" customHeight="false" outlineLevel="0" collapsed="false">
      <c r="A19" s="8"/>
      <c r="B19" s="11" t="str">
        <f aca="false">IF(A19="","",IFERROR(INDEX(Clientes!$B$5:$B$60,MATCH(A19,Clientes!$A$5:$A$60,0)),"CUIT no cargado en Clientes"))</f>
        <v/>
      </c>
      <c r="C19" s="11" t="str">
        <f aca="false">IF(A19="","",IFERROR(INDEX(Clientes!$C$5:$C$60,MATCH(A19,Clientes!$A$5:$A$60,0)),""))</f>
        <v/>
      </c>
      <c r="D19" s="11" t="str">
        <f aca="false">IF(A19="","",IF(Emisor!$B$7="Responsable Monotributo","Factura C",IF(OR(C19="IVA Responsable Inscripto",C19="Responsable Monotributo"),"Factura A","Factura B")))</f>
        <v/>
      </c>
      <c r="E19" s="7"/>
      <c r="F19" s="12"/>
      <c r="G19" s="13" t="str">
        <f aca="false">IF(F19="","",IF(Emisor!$B$7="IVA Responsable Inscripto",ROUND(F19*Emisor!$B$10,2),0))</f>
        <v/>
      </c>
      <c r="H19" s="13" t="str">
        <f aca="false">IF(F19="","",F19+G19)</f>
        <v/>
      </c>
      <c r="I19" s="14"/>
      <c r="J19" s="14"/>
      <c r="K19" s="14"/>
      <c r="L19" s="14"/>
      <c r="M19" s="7"/>
      <c r="N19" s="7"/>
      <c r="O19" s="15"/>
      <c r="P19" s="15"/>
    </row>
    <row r="20" customFormat="false" ht="15" hidden="false" customHeight="false" outlineLevel="0" collapsed="false">
      <c r="A20" s="8"/>
      <c r="B20" s="11" t="str">
        <f aca="false">IF(A20="","",IFERROR(INDEX(Clientes!$B$5:$B$60,MATCH(A20,Clientes!$A$5:$A$60,0)),"CUIT no cargado en Clientes"))</f>
        <v/>
      </c>
      <c r="C20" s="11" t="str">
        <f aca="false">IF(A20="","",IFERROR(INDEX(Clientes!$C$5:$C$60,MATCH(A20,Clientes!$A$5:$A$60,0)),""))</f>
        <v/>
      </c>
      <c r="D20" s="11" t="str">
        <f aca="false">IF(A20="","",IF(Emisor!$B$7="Responsable Monotributo","Factura C",IF(OR(C20="IVA Responsable Inscripto",C20="Responsable Monotributo"),"Factura A","Factura B")))</f>
        <v/>
      </c>
      <c r="E20" s="7"/>
      <c r="F20" s="12"/>
      <c r="G20" s="13" t="str">
        <f aca="false">IF(F20="","",IF(Emisor!$B$7="IVA Responsable Inscripto",ROUND(F20*Emisor!$B$10,2),0))</f>
        <v/>
      </c>
      <c r="H20" s="13" t="str">
        <f aca="false">IF(F20="","",F20+G20)</f>
        <v/>
      </c>
      <c r="I20" s="14"/>
      <c r="J20" s="14"/>
      <c r="K20" s="14"/>
      <c r="L20" s="14"/>
      <c r="M20" s="7"/>
      <c r="N20" s="7"/>
      <c r="O20" s="15"/>
      <c r="P20" s="15"/>
    </row>
    <row r="21" customFormat="false" ht="15" hidden="false" customHeight="false" outlineLevel="0" collapsed="false">
      <c r="A21" s="8"/>
      <c r="B21" s="11" t="str">
        <f aca="false">IF(A21="","",IFERROR(INDEX(Clientes!$B$5:$B$60,MATCH(A21,Clientes!$A$5:$A$60,0)),"CUIT no cargado en Clientes"))</f>
        <v/>
      </c>
      <c r="C21" s="11" t="str">
        <f aca="false">IF(A21="","",IFERROR(INDEX(Clientes!$C$5:$C$60,MATCH(A21,Clientes!$A$5:$A$60,0)),""))</f>
        <v/>
      </c>
      <c r="D21" s="11" t="str">
        <f aca="false">IF(A21="","",IF(Emisor!$B$7="Responsable Monotributo","Factura C",IF(OR(C21="IVA Responsable Inscripto",C21="Responsable Monotributo"),"Factura A","Factura B")))</f>
        <v/>
      </c>
      <c r="E21" s="7"/>
      <c r="F21" s="12"/>
      <c r="G21" s="13" t="str">
        <f aca="false">IF(F21="","",IF(Emisor!$B$7="IVA Responsable Inscripto",ROUND(F21*Emisor!$B$10,2),0))</f>
        <v/>
      </c>
      <c r="H21" s="13" t="str">
        <f aca="false">IF(F21="","",F21+G21)</f>
        <v/>
      </c>
      <c r="I21" s="14"/>
      <c r="J21" s="14"/>
      <c r="K21" s="14"/>
      <c r="L21" s="14"/>
      <c r="M21" s="7"/>
      <c r="N21" s="7"/>
      <c r="O21" s="15"/>
      <c r="P21" s="15"/>
    </row>
    <row r="22" customFormat="false" ht="15" hidden="false" customHeight="false" outlineLevel="0" collapsed="false">
      <c r="A22" s="8"/>
      <c r="B22" s="11" t="str">
        <f aca="false">IF(A22="","",IFERROR(INDEX(Clientes!$B$5:$B$60,MATCH(A22,Clientes!$A$5:$A$60,0)),"CUIT no cargado en Clientes"))</f>
        <v/>
      </c>
      <c r="C22" s="11" t="str">
        <f aca="false">IF(A22="","",IFERROR(INDEX(Clientes!$C$5:$C$60,MATCH(A22,Clientes!$A$5:$A$60,0)),""))</f>
        <v/>
      </c>
      <c r="D22" s="11" t="str">
        <f aca="false">IF(A22="","",IF(Emisor!$B$7="Responsable Monotributo","Factura C",IF(OR(C22="IVA Responsable Inscripto",C22="Responsable Monotributo"),"Factura A","Factura B")))</f>
        <v/>
      </c>
      <c r="E22" s="7"/>
      <c r="F22" s="12"/>
      <c r="G22" s="13" t="str">
        <f aca="false">IF(F22="","",IF(Emisor!$B$7="IVA Responsable Inscripto",ROUND(F22*Emisor!$B$10,2),0))</f>
        <v/>
      </c>
      <c r="H22" s="13" t="str">
        <f aca="false">IF(F22="","",F22+G22)</f>
        <v/>
      </c>
      <c r="I22" s="14"/>
      <c r="J22" s="14"/>
      <c r="K22" s="14"/>
      <c r="L22" s="14"/>
      <c r="M22" s="7"/>
      <c r="N22" s="7"/>
      <c r="O22" s="15"/>
      <c r="P22" s="15"/>
    </row>
    <row r="23" customFormat="false" ht="15" hidden="false" customHeight="false" outlineLevel="0" collapsed="false">
      <c r="A23" s="8"/>
      <c r="B23" s="11" t="str">
        <f aca="false">IF(A23="","",IFERROR(INDEX(Clientes!$B$5:$B$60,MATCH(A23,Clientes!$A$5:$A$60,0)),"CUIT no cargado en Clientes"))</f>
        <v/>
      </c>
      <c r="C23" s="11" t="str">
        <f aca="false">IF(A23="","",IFERROR(INDEX(Clientes!$C$5:$C$60,MATCH(A23,Clientes!$A$5:$A$60,0)),""))</f>
        <v/>
      </c>
      <c r="D23" s="11" t="str">
        <f aca="false">IF(A23="","",IF(Emisor!$B$7="Responsable Monotributo","Factura C",IF(OR(C23="IVA Responsable Inscripto",C23="Responsable Monotributo"),"Factura A","Factura B")))</f>
        <v/>
      </c>
      <c r="E23" s="7"/>
      <c r="F23" s="12"/>
      <c r="G23" s="13" t="str">
        <f aca="false">IF(F23="","",IF(Emisor!$B$7="IVA Responsable Inscripto",ROUND(F23*Emisor!$B$10,2),0))</f>
        <v/>
      </c>
      <c r="H23" s="13" t="str">
        <f aca="false">IF(F23="","",F23+G23)</f>
        <v/>
      </c>
      <c r="I23" s="14"/>
      <c r="J23" s="14"/>
      <c r="K23" s="14"/>
      <c r="L23" s="14"/>
      <c r="M23" s="7"/>
      <c r="N23" s="7"/>
      <c r="O23" s="15"/>
      <c r="P23" s="15"/>
    </row>
    <row r="24" customFormat="false" ht="15" hidden="false" customHeight="false" outlineLevel="0" collapsed="false">
      <c r="A24" s="8"/>
      <c r="B24" s="11" t="str">
        <f aca="false">IF(A24="","",IFERROR(INDEX(Clientes!$B$5:$B$60,MATCH(A24,Clientes!$A$5:$A$60,0)),"CUIT no cargado en Clientes"))</f>
        <v/>
      </c>
      <c r="C24" s="11" t="str">
        <f aca="false">IF(A24="","",IFERROR(INDEX(Clientes!$C$5:$C$60,MATCH(A24,Clientes!$A$5:$A$60,0)),""))</f>
        <v/>
      </c>
      <c r="D24" s="11" t="str">
        <f aca="false">IF(A24="","",IF(Emisor!$B$7="Responsable Monotributo","Factura C",IF(OR(C24="IVA Responsable Inscripto",C24="Responsable Monotributo"),"Factura A","Factura B")))</f>
        <v/>
      </c>
      <c r="E24" s="7"/>
      <c r="F24" s="12"/>
      <c r="G24" s="13" t="str">
        <f aca="false">IF(F24="","",IF(Emisor!$B$7="IVA Responsable Inscripto",ROUND(F24*Emisor!$B$10,2),0))</f>
        <v/>
      </c>
      <c r="H24" s="13" t="str">
        <f aca="false">IF(F24="","",F24+G24)</f>
        <v/>
      </c>
      <c r="I24" s="14"/>
      <c r="J24" s="14"/>
      <c r="K24" s="14"/>
      <c r="L24" s="14"/>
      <c r="M24" s="7"/>
      <c r="N24" s="7"/>
      <c r="O24" s="15"/>
      <c r="P24" s="15"/>
    </row>
    <row r="25" customFormat="false" ht="15" hidden="false" customHeight="false" outlineLevel="0" collapsed="false">
      <c r="E25" s="3" t="s">
        <v>71</v>
      </c>
      <c r="H25" s="16" t="n">
        <f aca="false">SUM(H5:H24)</f>
        <v>0</v>
      </c>
    </row>
    <row r="26" customFormat="false" ht="15" hidden="false" customHeight="false" outlineLevel="0" collapsed="false">
      <c r="E26" s="4" t="s">
        <v>72</v>
      </c>
      <c r="H26" s="4" t="n">
        <f aca="false">COUNTIF(A5:A24,"?*")</f>
        <v>0</v>
      </c>
    </row>
    <row r="27" customFormat="false" ht="15" hidden="false" customHeight="false" outlineLevel="0" collapsed="false">
      <c r="E27" s="4" t="s">
        <v>73</v>
      </c>
      <c r="H27" s="4" t="n">
        <f aca="false">COUNTIF(P5:P24,"Sí")</f>
        <v>0</v>
      </c>
    </row>
  </sheetData>
  <dataValidations count="5">
    <dataValidation allowBlank="true" errorStyle="stop" operator="between" showDropDown="false" showErrorMessage="false" showInputMessage="false" sqref="A5:A24" type="list">
      <formula1>Clientes!$A$5:$A$60</formula1>
      <formula2>0</formula2>
    </dataValidation>
    <dataValidation allowBlank="true" errorStyle="stop" operator="between" showDropDown="false" showErrorMessage="false" showInputMessage="false" sqref="M5:M24" type="list">
      <formula1>"Transferencia Bancaria,Contado,Cuenta Corriente,Cheque,Tarjeta de Débito,Tarjeta de Crédito,Otra"</formula1>
      <formula2>0</formula2>
    </dataValidation>
    <dataValidation allowBlank="true" errorStyle="stop" operator="between" showDropDown="false" showErrorMessage="false" showInputMessage="false" sqref="P5:P24" type="list">
      <formula1>"Sí,No"</formula1>
      <formula2>0</formula2>
    </dataValidation>
    <dataValidation allowBlank="true" error="El importe tiene que ser mayor a 0" errorStyle="stop" operator="greaterThan" showDropDown="false" showErrorMessage="true" showInputMessage="false" sqref="F5:F24" type="decimal">
      <formula1>0</formula1>
      <formula2>0</formula2>
    </dataValidation>
    <dataValidation allowBlank="true" error="Ingresá una fecha válida (dd/mm/aaaa)" errorStyle="stop" operator="greaterThan" showDropDown="false" showErrorMessage="true" showInputMessage="false" sqref="I5:L24" type="date">
      <formula1>44927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2026-09-29T01:52:22Z</dcterms:created>
  <dc:creator>openpyxl</dc:creator>
  <dc:description/>
  <dc:language>en-US</dc:language>
  <cp:lastModifiedBy/>
  <dcterms:modified xsi:type="dcterms:W3CDTF">2026-09-29T01:52:22Z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